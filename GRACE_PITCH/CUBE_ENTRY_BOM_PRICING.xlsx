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BE_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6" customWidth="1" min="3" max="3"/>
    <col width="28" customWidth="1" min="4" max="4"/>
    <col width="46" customWidth="1" min="5" max="5"/>
    <col width="12" customWidth="1" min="6" max="6"/>
    <col width="12" customWidth="1" min="7" max="7"/>
  </cols>
  <sheetData>
    <row r="1">
      <c r="A1" s="1" t="inlineStr">
        <is>
          <t>Qty</t>
        </is>
      </c>
      <c r="B1" s="1" t="inlineStr">
        <is>
          <t>Designator</t>
        </is>
      </c>
      <c r="C1" s="1" t="inlineStr">
        <is>
          <t>Description</t>
        </is>
      </c>
      <c r="D1" s="1" t="inlineStr">
        <is>
          <t>Mfr Part #</t>
        </is>
      </c>
      <c r="E1" s="1" t="inlineStr">
        <is>
          <t>Vendor/Notes</t>
        </is>
      </c>
      <c r="F1" s="1" t="inlineStr">
        <is>
          <t>Unit USD</t>
        </is>
      </c>
      <c r="G1" s="1" t="inlineStr">
        <is>
          <t>Ext USD</t>
        </is>
      </c>
    </row>
    <row r="2">
      <c r="A2" t="n">
        <v>1</v>
      </c>
      <c r="B2" t="inlineStr">
        <is>
          <t>BASE-CHS</t>
        </is>
      </c>
      <c r="C2" t="inlineStr">
        <is>
          <t>Main base / chassis for cube row + control strip (knob, soft fader, transport)</t>
        </is>
      </c>
      <c r="D2" t="inlineStr">
        <is>
          <t>Custom fab</t>
        </is>
      </c>
      <c r="E2" t="inlineStr">
        <is>
          <t>Wedge or flat; ties cubes mechanically</t>
        </is>
      </c>
      <c r="F2" s="2" t="n">
        <v>165</v>
      </c>
      <c r="G2" s="2">
        <f>A2*F2</f>
        <v/>
      </c>
    </row>
    <row r="3">
      <c r="A3" t="n">
        <v>1</v>
      </c>
      <c r="B3" t="inlineStr">
        <is>
          <t>CUBE-USB</t>
        </is>
      </c>
      <c r="C3" t="inlineStr">
        <is>
          <t>Cube 1 — 8× USB host-facing interface (hub + PCB + cube shell)</t>
        </is>
      </c>
      <c r="D3" t="inlineStr">
        <is>
          <t>Custom / TBD hub IC</t>
        </is>
      </c>
      <c r="E3" t="inlineStr">
        <is>
          <t>Computer link; same software stack as full desk</t>
        </is>
      </c>
      <c r="F3" s="2" t="n">
        <v>95</v>
      </c>
      <c r="G3" s="2">
        <f>A3*F3</f>
        <v/>
      </c>
    </row>
    <row r="4">
      <c r="A4" t="n">
        <v>1</v>
      </c>
      <c r="B4" t="inlineStr">
        <is>
          <t>CUBE-TRS</t>
        </is>
      </c>
      <c r="C4" t="inlineStr">
        <is>
          <t>Cube 2 — 2× 1/4″ TRS inputs (PCB + jacks + shell)</t>
        </is>
      </c>
      <c r="D4" t="inlineStr">
        <is>
          <t>Neutrik-style TRS</t>
        </is>
      </c>
      <c r="E4" t="inlineStr">
        <is>
          <t>Balanced/instrument line</t>
        </is>
      </c>
      <c r="F4" s="2" t="n">
        <v>48</v>
      </c>
      <c r="G4" s="2">
        <f>A4*F4</f>
        <v/>
      </c>
    </row>
    <row r="5">
      <c r="A5" t="n">
        <v>1</v>
      </c>
      <c r="B5" t="inlineStr">
        <is>
          <t>CUBE-XLR</t>
        </is>
      </c>
      <c r="C5" t="inlineStr">
        <is>
          <t>Cube 3 — 4× female XLR mic inputs (PCB + shells + shell)</t>
        </is>
      </c>
      <c r="D5" t="inlineStr">
        <is>
          <t>Neutrik NC3FXX or equiv</t>
        </is>
      </c>
      <c r="E5" t="inlineStr">
        <is>
          <t>Phantom per design</t>
        </is>
      </c>
      <c r="F5" s="2" t="n">
        <v>72</v>
      </c>
      <c r="G5" s="2">
        <f>A5*F5</f>
        <v/>
      </c>
    </row>
    <row r="6">
      <c r="A6" t="n">
        <v>1</v>
      </c>
      <c r="B6" t="inlineStr">
        <is>
          <t>CUBE-CMB</t>
        </is>
      </c>
      <c r="C6" t="inlineStr">
        <is>
          <t>Cube 4 — 4× combo XLR+1/4″ (PCB + shells + shell)</t>
        </is>
      </c>
      <c r="D6" t="inlineStr">
        <is>
          <t>Neutrik NCJ or equiv</t>
        </is>
      </c>
      <c r="E6" t="inlineStr">
        <is>
          <t>Mic/line/instrument</t>
        </is>
      </c>
      <c r="F6" s="2" t="n">
        <v>110</v>
      </c>
      <c r="G6" s="2">
        <f>A6*F6</f>
        <v/>
      </c>
    </row>
    <row r="7">
      <c r="A7" t="n">
        <v>1</v>
      </c>
      <c r="B7" t="inlineStr">
        <is>
          <t>MCU-BRD</t>
        </is>
      </c>
      <c r="C7" t="inlineStr">
        <is>
          <t>Main controller / USB audio bridge PCB (MCU, converters path)</t>
        </is>
      </c>
      <c r="D7" t="inlineStr">
        <is>
          <t>Custom</t>
        </is>
      </c>
      <c r="E7" t="inlineStr">
        <is>
          <t>Ties cubes to host + control surfaces</t>
        </is>
      </c>
      <c r="F7" s="2" t="n">
        <v>135</v>
      </c>
      <c r="G7" s="2">
        <f>A7*F7</f>
        <v/>
      </c>
    </row>
    <row r="8">
      <c r="A8" t="n">
        <v>1</v>
      </c>
      <c r="B8" t="inlineStr">
        <is>
          <t>PSU-EXT</t>
        </is>
      </c>
      <c r="C8" t="inlineStr">
        <is>
          <t>External PSU (5V/12V class per final design)</t>
        </is>
      </c>
      <c r="D8" t="inlineStr">
        <is>
          <t>Mean Well GSM/GSM-style or USB-PD brick</t>
        </is>
      </c>
      <c r="E8" t="inlineStr">
        <is>
          <t>Entry bundle power</t>
        </is>
      </c>
      <c r="F8" s="2" t="n">
        <v>35</v>
      </c>
      <c r="G8" s="2">
        <f>A8*F8</f>
        <v/>
      </c>
    </row>
    <row r="9">
      <c r="A9" t="n">
        <v>1</v>
      </c>
      <c r="B9" t="inlineStr">
        <is>
          <t>KNOB-6DOF</t>
        </is>
      </c>
      <c r="C9" t="inlineStr">
        <is>
          <t>Touch-and-turn 6DOF knob module (sensor + bearing + cap)</t>
        </is>
      </c>
      <c r="D9" t="inlineStr">
        <is>
          <t>Custom / 6DOF module</t>
        </is>
      </c>
      <c r="E9" t="inlineStr">
        <is>
          <t>SpaceMouse-class behavior</t>
        </is>
      </c>
      <c r="F9" s="2" t="n">
        <v>195</v>
      </c>
      <c r="G9" s="2">
        <f>A9*F9</f>
        <v/>
      </c>
    </row>
    <row r="10">
      <c r="A10" t="n">
        <v>1</v>
      </c>
      <c r="B10" t="inlineStr">
        <is>
          <t>FADER-LED</t>
        </is>
      </c>
      <c r="C10" t="inlineStr">
        <is>
          <t>Soft LED fader strip (touch + LED automation display)</t>
        </is>
      </c>
      <c r="D10" t="inlineStr">
        <is>
          <t>Custom</t>
        </is>
      </c>
      <c r="E10" t="inlineStr">
        <is>
          <t>LED follow for automation</t>
        </is>
      </c>
      <c r="F10" s="2" t="n">
        <v>88</v>
      </c>
      <c r="G10" s="2">
        <f>A10*F10</f>
        <v/>
      </c>
    </row>
    <row r="11">
      <c r="A11" t="n">
        <v>1</v>
      </c>
      <c r="B11" t="inlineStr">
        <is>
          <t>TRANS-BAR</t>
        </is>
      </c>
      <c r="C11" t="inlineStr">
        <is>
          <t>Transport bar — segmented touch or mechanical cluster</t>
        </is>
      </c>
      <c r="D11" t="inlineStr">
        <is>
          <t>Custom</t>
        </is>
      </c>
      <c r="E11" t="inlineStr">
        <is>
          <t>RW/FF/Stop/Play/Rec etc.</t>
        </is>
      </c>
      <c r="F11" s="2" t="n">
        <v>52</v>
      </c>
      <c r="G11" s="2">
        <f>A11*F11</f>
        <v/>
      </c>
    </row>
    <row r="12">
      <c r="A12" t="n">
        <v>1</v>
      </c>
      <c r="B12" t="inlineStr">
        <is>
          <t>WIRE-HARN</t>
        </is>
      </c>
      <c r="C12" t="inlineStr">
        <is>
          <t>Internal harness + USB cables + shielded audio runs</t>
        </is>
      </c>
      <c r="D12" t="inlineStr">
        <is>
          <t>Mixed</t>
        </is>
      </c>
      <c r="E12" t="inlineStr">
        <is>
          <t>Cube-to-base routing</t>
        </is>
      </c>
      <c r="F12" s="2" t="n">
        <v>42</v>
      </c>
      <c r="G12" s="2">
        <f>A12*F12</f>
        <v/>
      </c>
    </row>
    <row r="13">
      <c r="A13" t="n">
        <v>1</v>
      </c>
      <c r="B13" t="inlineStr">
        <is>
          <t>MECH-HW</t>
        </is>
      </c>
      <c r="C13" t="inlineStr">
        <is>
          <t>Hardware kit (screws, standoffs, feet, labels)</t>
        </is>
      </c>
      <c r="D13" t="inlineStr">
        <is>
          <t>Mixed</t>
        </is>
      </c>
      <c r="E13" t="inlineStr">
        <is>
          <t>Field service friendly</t>
        </is>
      </c>
      <c r="F13" s="2" t="n">
        <v>28</v>
      </c>
      <c r="G13" s="2">
        <f>A13*F13</f>
        <v/>
      </c>
    </row>
    <row r="14">
      <c r="A14" t="n">
        <v>1</v>
      </c>
      <c r="B14" t="inlineStr">
        <is>
          <t>DOC-PKG</t>
        </is>
      </c>
      <c r="C14" t="inlineStr">
        <is>
          <t>Quick-start + pinout card (print)</t>
        </is>
      </c>
      <c r="D14" t="inlineStr">
        <is>
          <t>—</t>
        </is>
      </c>
      <c r="E14" t="inlineStr">
        <is>
          <t>Ships with unit</t>
        </is>
      </c>
      <c r="F14" s="2" t="n">
        <v>12</v>
      </c>
      <c r="G14" s="2">
        <f>A14*F14</f>
        <v/>
      </c>
    </row>
    <row r="15">
      <c r="E15" s="3" t="inlineStr">
        <is>
          <t>Estimated subtotal (one CUBE ENTRY bundle)</t>
        </is>
      </c>
      <c r="G15" s="4">
        <f>SUM(G2:G14)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2026-03-31T00:39:46Z</dcterms:created>
  <dcterms:modified xmlns:dcterms="http://purl.org/dc/terms/" xmlns:xsi="http://www.w3.org/2001/XMLSchema-instance" xsi:type="dcterms:W3CDTF">2026-03-31T00:39:46Z</dcterms:modified>
</cp:coreProperties>
</file>