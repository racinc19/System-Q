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BOM" sheetId="1" state="visible" r:id="rId1"/>
    <sheet xmlns:r="http://schemas.openxmlformats.org/officeDocument/2006/relationships" name="RIGHT_BOM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A1F4E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2" customWidth="1" min="3" max="3"/>
    <col width="28" customWidth="1" min="4" max="4"/>
    <col width="44" customWidth="1" min="5" max="5"/>
    <col width="12" customWidth="1" min="6" max="6"/>
    <col width="12" customWidth="1" min="7" max="7"/>
  </cols>
  <sheetData>
    <row r="1">
      <c r="A1" s="1" t="inlineStr">
        <is>
          <t>Qty</t>
        </is>
      </c>
      <c r="B1" s="1" t="inlineStr">
        <is>
          <t>Designator</t>
        </is>
      </c>
      <c r="C1" s="1" t="inlineStr">
        <is>
          <t>Description</t>
        </is>
      </c>
      <c r="D1" s="1" t="inlineStr">
        <is>
          <t>Mfr Part #</t>
        </is>
      </c>
      <c r="E1" s="1" t="inlineStr">
        <is>
          <t>Vendor/Notes</t>
        </is>
      </c>
      <c r="F1" s="1" t="inlineStr">
        <is>
          <t>Unit USD</t>
        </is>
      </c>
      <c r="G1" s="1" t="inlineStr">
        <is>
          <t>Ext USD</t>
        </is>
      </c>
    </row>
    <row r="2">
      <c r="A2" t="n">
        <v>1</v>
      </c>
      <c r="B2" t="inlineStr">
        <is>
          <t>CH-L</t>
        </is>
      </c>
      <c r="C2" t="inlineStr">
        <is>
          <t>Left rack enclosure with slide-out rear panel + rails + side cable channels</t>
        </is>
      </c>
      <c r="D2" t="inlineStr">
        <is>
          <t>Custom fab</t>
        </is>
      </c>
      <c r="E2" t="inlineStr">
        <is>
          <t>Per cad/system_q_left_rack_slideout.step</t>
        </is>
      </c>
      <c r="F2" s="2" t="n">
        <v>450</v>
      </c>
      <c r="G2" s="2">
        <f>A2*F2</f>
        <v/>
      </c>
    </row>
    <row r="3">
      <c r="A3" t="n">
        <v>1</v>
      </c>
      <c r="B3" t="inlineStr">
        <is>
          <t>PSU-24</t>
        </is>
      </c>
      <c r="C3" t="inlineStr">
        <is>
          <t>AC/DC 24V front-end power supply, enclosed</t>
        </is>
      </c>
      <c r="D3" t="inlineStr">
        <is>
          <t>Mean Well LRS-150-24</t>
        </is>
      </c>
      <c r="E3" t="inlineStr">
        <is>
          <t>Main front-end feed for split rail architecture</t>
        </is>
      </c>
      <c r="F3" s="2" t="n">
        <v>32</v>
      </c>
      <c r="G3" s="2">
        <f>A3*F3</f>
        <v/>
      </c>
    </row>
    <row r="4">
      <c r="A4" t="n">
        <v>2</v>
      </c>
      <c r="B4" t="inlineStr">
        <is>
          <t>DC15-A/B</t>
        </is>
      </c>
      <c r="C4" t="inlineStr">
        <is>
          <t>Isolated DC/DC dual output +15V/-15V modules</t>
        </is>
      </c>
      <c r="D4" t="inlineStr">
        <is>
          <t>TRACO TEN 40-2415N</t>
        </is>
      </c>
      <c r="E4" t="inlineStr">
        <is>
          <t>Analog rail generation (headroom)</t>
        </is>
      </c>
      <c r="F4" s="2" t="n">
        <v>58</v>
      </c>
      <c r="G4" s="2">
        <f>A4*F4</f>
        <v/>
      </c>
    </row>
    <row r="5">
      <c r="A5" t="n">
        <v>1</v>
      </c>
      <c r="B5" t="inlineStr">
        <is>
          <t>PH-48</t>
        </is>
      </c>
      <c r="C5" t="inlineStr">
        <is>
          <t>48V phantom power module</t>
        </is>
      </c>
      <c r="D5" t="inlineStr">
        <is>
          <t>FiveFish Phantom Gen</t>
        </is>
      </c>
      <c r="E5" t="inlineStr">
        <is>
          <t>Mic phantom rail source</t>
        </is>
      </c>
      <c r="F5" s="2" t="n">
        <v>29</v>
      </c>
      <c r="G5" s="2">
        <f>A5*F5</f>
        <v/>
      </c>
    </row>
    <row r="6">
      <c r="A6" t="n">
        <v>12</v>
      </c>
      <c r="B6" t="inlineStr">
        <is>
          <t>V1-V12</t>
        </is>
      </c>
      <c r="C6" t="inlineStr">
        <is>
          <t>12AX7 / ECC83 dual triode tubes</t>
        </is>
      </c>
      <c r="D6" t="inlineStr">
        <is>
          <t>JJ ECC83S (or equivalent)</t>
        </is>
      </c>
      <c r="E6" t="inlineStr">
        <is>
          <t>Shared tube bank for preamp/comp/EQ tube path</t>
        </is>
      </c>
      <c r="F6" s="2" t="n">
        <v>22</v>
      </c>
      <c r="G6" s="2">
        <f>A6*F6</f>
        <v/>
      </c>
    </row>
    <row r="7">
      <c r="A7" t="n">
        <v>12</v>
      </c>
      <c r="B7" t="inlineStr">
        <is>
          <t>SK1-SK12</t>
        </is>
      </c>
      <c r="C7" t="inlineStr">
        <is>
          <t>Noval 9-pin tube sockets, chassis or PCB mount</t>
        </is>
      </c>
      <c r="D7" t="inlineStr">
        <is>
          <t>Belton 9-pin (or equivalent)</t>
        </is>
      </c>
      <c r="E7" t="inlineStr">
        <is>
          <t>Match mount style to final tube board</t>
        </is>
      </c>
      <c r="F7" s="2" t="n">
        <v>6.5</v>
      </c>
      <c r="G7" s="2">
        <f>A7*F7</f>
        <v/>
      </c>
    </row>
    <row r="8">
      <c r="A8" t="n">
        <v>1</v>
      </c>
      <c r="B8" t="inlineStr">
        <is>
          <t>HV-B+</t>
        </is>
      </c>
      <c r="C8" t="inlineStr">
        <is>
          <t>Tube B+ supply assembly (HV transformer/SMPS + rect/filter)</t>
        </is>
      </c>
      <c r="D8" t="inlineStr">
        <is>
          <t>TBD by tube circuit</t>
        </is>
      </c>
      <c r="E8" t="inlineStr">
        <is>
          <t>Target 200-300V class, budget placeholder only</t>
        </is>
      </c>
      <c r="F8" s="2" t="n">
        <v>180</v>
      </c>
      <c r="G8" s="2">
        <f>A8*F8</f>
        <v/>
      </c>
    </row>
    <row r="9">
      <c r="A9" t="n">
        <v>1</v>
      </c>
      <c r="B9" t="inlineStr">
        <is>
          <t>HTR-12V</t>
        </is>
      </c>
      <c r="C9" t="inlineStr">
        <is>
          <t>Tube heater supply, regulated</t>
        </is>
      </c>
      <c r="D9" t="inlineStr">
        <is>
          <t>TBD by tube circuit</t>
        </is>
      </c>
      <c r="E9" t="inlineStr">
        <is>
          <t>12.6V class heater rail for 12 tubes</t>
        </is>
      </c>
      <c r="F9" s="2" t="n">
        <v>65</v>
      </c>
      <c r="G9" s="2">
        <f>A9*F9</f>
        <v/>
      </c>
    </row>
    <row r="10">
      <c r="A10" t="n">
        <v>1</v>
      </c>
      <c r="B10" t="inlineStr">
        <is>
          <t>CARD-SET</t>
        </is>
      </c>
      <c r="C10" t="inlineStr">
        <is>
          <t>6-card electronics set (5 processing + converter)</t>
        </is>
      </c>
      <c r="D10" t="inlineStr">
        <is>
          <t>Custom</t>
        </is>
      </c>
      <c r="E10" t="inlineStr">
        <is>
          <t>Prototype estimate for assembled PCB set</t>
        </is>
      </c>
      <c r="F10" s="2" t="n">
        <v>1500</v>
      </c>
      <c r="G10" s="2">
        <f>A10*F10</f>
        <v/>
      </c>
    </row>
    <row r="11">
      <c r="A11" t="n">
        <v>1</v>
      </c>
      <c r="B11" t="inlineStr">
        <is>
          <t>IO-CONN</t>
        </is>
      </c>
      <c r="C11" t="inlineStr">
        <is>
          <t>I/O connector set (XLR/TRS/USB/power entry)</t>
        </is>
      </c>
      <c r="D11" t="inlineStr">
        <is>
          <t>Mixed</t>
        </is>
      </c>
      <c r="E11" t="inlineStr">
        <is>
          <t>Back/side panel connector hardware</t>
        </is>
      </c>
      <c r="F11" s="2" t="n">
        <v>220</v>
      </c>
      <c r="G11" s="2">
        <f>A11*F11</f>
        <v/>
      </c>
    </row>
    <row r="12">
      <c r="A12" t="n">
        <v>1</v>
      </c>
      <c r="B12" t="inlineStr">
        <is>
          <t>MECH-HW</t>
        </is>
      </c>
      <c r="C12" t="inlineStr">
        <is>
          <t>Mechanical hardware set (standoffs, screws, rails, handle, tie points)</t>
        </is>
      </c>
      <c r="D12" t="inlineStr">
        <is>
          <t>Mixed</t>
        </is>
      </c>
      <c r="E12" t="inlineStr">
        <is>
          <t>Stainless hardware + cable management</t>
        </is>
      </c>
      <c r="F12" s="2" t="n">
        <v>85</v>
      </c>
      <c r="G12" s="2">
        <f>A12*F12</f>
        <v/>
      </c>
    </row>
    <row r="13">
      <c r="A13" t="n">
        <v>1</v>
      </c>
      <c r="B13" t="inlineStr">
        <is>
          <t>FAN-SET</t>
        </is>
      </c>
      <c r="C13" t="inlineStr">
        <is>
          <t>Cooling set (fans, guards, filters)</t>
        </is>
      </c>
      <c r="D13" t="inlineStr">
        <is>
          <t>Mixed</t>
        </is>
      </c>
      <c r="E13" t="inlineStr">
        <is>
          <t>Thermal control for tube + PSU zones</t>
        </is>
      </c>
      <c r="F13" s="2" t="n">
        <v>95</v>
      </c>
      <c r="G13" s="2">
        <f>A13*F13</f>
        <v/>
      </c>
    </row>
    <row r="14">
      <c r="E14" s="3" t="inlineStr">
        <is>
          <t>Estimated subtotal</t>
        </is>
      </c>
      <c r="G14" s="4">
        <f>SUM(G2:G13)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2" customWidth="1" min="3" max="3"/>
    <col width="28" customWidth="1" min="4" max="4"/>
    <col width="44" customWidth="1" min="5" max="5"/>
    <col width="12" customWidth="1" min="6" max="6"/>
    <col width="12" customWidth="1" min="7" max="7"/>
  </cols>
  <sheetData>
    <row r="1">
      <c r="A1" s="5" t="inlineStr">
        <is>
          <t>Qty</t>
        </is>
      </c>
      <c r="B1" s="5" t="inlineStr">
        <is>
          <t>Designator</t>
        </is>
      </c>
      <c r="C1" s="5" t="inlineStr">
        <is>
          <t>Description</t>
        </is>
      </c>
      <c r="D1" s="5" t="inlineStr">
        <is>
          <t>Mfr Part #</t>
        </is>
      </c>
      <c r="E1" s="5" t="inlineStr">
        <is>
          <t>Vendor/Notes</t>
        </is>
      </c>
      <c r="F1" s="5" t="inlineStr">
        <is>
          <t>Unit USD</t>
        </is>
      </c>
      <c r="G1" s="5" t="inlineStr">
        <is>
          <t>Ext USD</t>
        </is>
      </c>
    </row>
    <row r="2">
      <c r="A2" t="n">
        <v>1</v>
      </c>
      <c r="B2" t="inlineStr">
        <is>
          <t>CH-R</t>
        </is>
      </c>
      <c r="C2" t="inlineStr">
        <is>
          <t>Right rack enclosure / frame assembly</t>
        </is>
      </c>
      <c r="D2" t="inlineStr">
        <is>
          <t>Custom fab</t>
        </is>
      </c>
      <c r="E2" t="inlineStr">
        <is>
          <t>Right-zone mechanical with internal assembly mounts</t>
        </is>
      </c>
      <c r="F2" s="2" t="n">
        <v>430</v>
      </c>
      <c r="G2" s="2">
        <f>A2*F2</f>
        <v/>
      </c>
    </row>
    <row r="3">
      <c r="A3" t="n">
        <v>1</v>
      </c>
      <c r="B3" t="inlineStr">
        <is>
          <t>MB-ASSY</t>
        </is>
      </c>
      <c r="C3" t="inlineStr">
        <is>
          <t>Motherboard + CPU + RAM + NVMe</t>
        </is>
      </c>
      <c r="D3" t="inlineStr">
        <is>
          <t>Build-specific</t>
        </is>
      </c>
      <c r="E3" t="inlineStr">
        <is>
          <t>Main compute assembly</t>
        </is>
      </c>
      <c r="F3" s="2" t="n">
        <v>900</v>
      </c>
      <c r="G3" s="2">
        <f>A3*F3</f>
        <v/>
      </c>
    </row>
    <row r="4">
      <c r="A4" t="n">
        <v>1</v>
      </c>
      <c r="B4" t="inlineStr">
        <is>
          <t>GPU-1</t>
        </is>
      </c>
      <c r="C4" t="inlineStr">
        <is>
          <t>Graphics card (UI/meters/display)</t>
        </is>
      </c>
      <c r="D4" t="inlineStr">
        <is>
          <t>Build-specific</t>
        </is>
      </c>
      <c r="E4" t="inlineStr">
        <is>
          <t>Sized to thermal and UI requirements</t>
        </is>
      </c>
      <c r="F4" s="2" t="n">
        <v>450</v>
      </c>
      <c r="G4" s="2">
        <f>A4*F4</f>
        <v/>
      </c>
    </row>
    <row r="5">
      <c r="A5" t="n">
        <v>1</v>
      </c>
      <c r="B5" t="inlineStr">
        <is>
          <t>PSU-R</t>
        </is>
      </c>
      <c r="C5" t="inlineStr">
        <is>
          <t>Compute PSU (ATX/SFX class)</t>
        </is>
      </c>
      <c r="D5" t="inlineStr">
        <is>
          <t>Build-specific</t>
        </is>
      </c>
      <c r="E5" t="inlineStr">
        <is>
          <t>For motherboard + GPU + digital sections</t>
        </is>
      </c>
      <c r="F5" s="2" t="n">
        <v>140</v>
      </c>
      <c r="G5" s="2">
        <f>A5*F5</f>
        <v/>
      </c>
    </row>
    <row r="6">
      <c r="A6" t="n">
        <v>1</v>
      </c>
      <c r="B6" t="inlineStr">
        <is>
          <t>DIG-RXTX</t>
        </is>
      </c>
      <c r="C6" t="inlineStr">
        <is>
          <t>Digital I/O board set (USB bridge, 32-&gt;12 return, optional 12 out)</t>
        </is>
      </c>
      <c r="D6" t="inlineStr">
        <is>
          <t>Custom</t>
        </is>
      </c>
      <c r="E6" t="inlineStr">
        <is>
          <t>Per CARD_LAYOUT right-zone narrative</t>
        </is>
      </c>
      <c r="F6" s="2" t="n">
        <v>480</v>
      </c>
      <c r="G6" s="2">
        <f>A6*F6</f>
        <v/>
      </c>
    </row>
    <row r="7">
      <c r="A7" t="n">
        <v>1</v>
      </c>
      <c r="B7" t="inlineStr">
        <is>
          <t>MON-BUS</t>
        </is>
      </c>
      <c r="C7" t="inlineStr">
        <is>
          <t>Stereo bus + monitor matrix PCB set</t>
        </is>
      </c>
      <c r="D7" t="inlineStr">
        <is>
          <t>Custom</t>
        </is>
      </c>
      <c r="E7" t="inlineStr">
        <is>
          <t>Source select, blend logic, monitor path control</t>
        </is>
      </c>
      <c r="F7" s="2" t="n">
        <v>420</v>
      </c>
      <c r="G7" s="2">
        <f>A7*F7</f>
        <v/>
      </c>
    </row>
    <row r="8">
      <c r="A8" t="n">
        <v>3</v>
      </c>
      <c r="B8" t="inlineStr">
        <is>
          <t>HP-AMP1..3</t>
        </is>
      </c>
      <c r="C8" t="inlineStr">
        <is>
          <t>Headphone amplifier modules</t>
        </is>
      </c>
      <c r="D8" t="inlineStr">
        <is>
          <t>Build-specific</t>
        </is>
      </c>
      <c r="E8" t="inlineStr">
        <is>
          <t>Three discrete headphone feeds</t>
        </is>
      </c>
      <c r="F8" s="2" t="n">
        <v>85</v>
      </c>
      <c r="G8" s="2">
        <f>A8*F8</f>
        <v/>
      </c>
    </row>
    <row r="9">
      <c r="A9" t="n">
        <v>1</v>
      </c>
      <c r="B9" t="inlineStr">
        <is>
          <t>SPK-SW</t>
        </is>
      </c>
      <c r="C9" t="inlineStr">
        <is>
          <t>Speaker select / relay board</t>
        </is>
      </c>
      <c r="D9" t="inlineStr">
        <is>
          <t>Build-specific</t>
        </is>
      </c>
      <c r="E9" t="inlineStr">
        <is>
          <t>Three monitor/speaker destinations</t>
        </is>
      </c>
      <c r="F9" s="2" t="n">
        <v>120</v>
      </c>
      <c r="G9" s="2">
        <f>A9*F9</f>
        <v/>
      </c>
    </row>
    <row r="10">
      <c r="A10" t="n">
        <v>1</v>
      </c>
      <c r="B10" t="inlineStr">
        <is>
          <t>IO-CONN-R</t>
        </is>
      </c>
      <c r="C10" t="inlineStr">
        <is>
          <t>I/O connector set (balanced in/out, USB/system, service)</t>
        </is>
      </c>
      <c r="D10" t="inlineStr">
        <is>
          <t>Mixed</t>
        </is>
      </c>
      <c r="E10" t="inlineStr">
        <is>
          <t>Back/side panel connector hardware</t>
        </is>
      </c>
      <c r="F10" s="2" t="n">
        <v>240</v>
      </c>
      <c r="G10" s="2">
        <f>A10*F10</f>
        <v/>
      </c>
    </row>
    <row r="11">
      <c r="A11" t="n">
        <v>1</v>
      </c>
      <c r="B11" t="inlineStr">
        <is>
          <t>MECH-HW-R</t>
        </is>
      </c>
      <c r="C11" t="inlineStr">
        <is>
          <t>Mechanical hardware set (standoffs, screws, shields, cable mgmt)</t>
        </is>
      </c>
      <c r="D11" t="inlineStr">
        <is>
          <t>Mixed</t>
        </is>
      </c>
      <c r="E11" t="inlineStr">
        <is>
          <t>Chassis hardware + cable retention</t>
        </is>
      </c>
      <c r="F11" s="2" t="n">
        <v>95</v>
      </c>
      <c r="G11" s="2">
        <f>A11*F11</f>
        <v/>
      </c>
    </row>
    <row r="12">
      <c r="A12" t="n">
        <v>1</v>
      </c>
      <c r="B12" t="inlineStr">
        <is>
          <t>FAN-SET-R</t>
        </is>
      </c>
      <c r="C12" t="inlineStr">
        <is>
          <t>Cooling set (fans, guards, filters)</t>
        </is>
      </c>
      <c r="D12" t="inlineStr">
        <is>
          <t>Mixed</t>
        </is>
      </c>
      <c r="E12" t="inlineStr">
        <is>
          <t>Thermal control for compute + analog sections</t>
        </is>
      </c>
      <c r="F12" s="2" t="n">
        <v>110</v>
      </c>
      <c r="G12" s="2">
        <f>A12*F12</f>
        <v/>
      </c>
    </row>
    <row r="13">
      <c r="E13" s="3" t="inlineStr">
        <is>
          <t>Estimated subtotal</t>
        </is>
      </c>
      <c r="G13" s="4">
        <f>SUM(G2:G12)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6" t="inlineStr">
        <is>
          <t>Section</t>
        </is>
      </c>
      <c r="B1" s="6" t="inlineStr">
        <is>
          <t>Amount USD</t>
        </is>
      </c>
    </row>
    <row r="2">
      <c r="A2" t="inlineStr">
        <is>
          <t>LEFT subtotal</t>
        </is>
      </c>
      <c r="B2" s="2">
        <f>LEFT_BOM!G14</f>
        <v/>
      </c>
    </row>
    <row r="3">
      <c r="A3" t="inlineStr">
        <is>
          <t>RIGHT subtotal</t>
        </is>
      </c>
      <c r="B3" s="2">
        <f>RIGHT_BOM!G13</f>
        <v/>
      </c>
    </row>
    <row r="4">
      <c r="A4" s="3" t="inlineStr">
        <is>
          <t>Combined total</t>
        </is>
      </c>
      <c r="B4" s="4">
        <f>B2+B3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2026-03-30T13:33:52Z</dcterms:created>
  <dcterms:modified xmlns:dcterms="http://purl.org/dc/terms/" xmlns:xsi="http://www.w3.org/2001/XMLSchema-instance" xsi:type="dcterms:W3CDTF">2026-03-30T13:33:52Z</dcterms:modified>
</cp:coreProperties>
</file>